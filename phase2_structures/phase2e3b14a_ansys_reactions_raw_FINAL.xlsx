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310ba53c7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14A Raw Inputs" sheetId="1" r:id="R22e2612808dc493e"/>
    <x:sheet xmlns:r="http://schemas.openxmlformats.org/officeDocument/2006/relationships" name="Read Me" sheetId="2" r:id="R34da38f8aa1a4d27"/>
    <x:sheet xmlns:r="http://schemas.openxmlformats.org/officeDocument/2006/relationships" name="B14A Check" sheetId="3" r:id="R9e48e007c71746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8CBA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8CBAD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9d0015a084c1f" /><Relationship Type="http://schemas.openxmlformats.org/officeDocument/2006/relationships/theme" Target="/xl/theme/theme1.xml" Id="Rf24e0a98955d448f" /><Relationship Type="http://schemas.openxmlformats.org/officeDocument/2006/relationships/sharedStrings" Target="/xl/sharedStrings.xml" Id="R0f552bc3d54a4568" /><Relationship Type="http://schemas.openxmlformats.org/officeDocument/2006/relationships/worksheet" Target="/xl/worksheets/sheet1.xml" Id="R22e2612808dc493e" /><Relationship Type="http://schemas.openxmlformats.org/officeDocument/2006/relationships/worksheet" Target="/xl/worksheets/sheet2.xml" Id="R34da38f8aa1a4d27" /><Relationship Type="http://schemas.openxmlformats.org/officeDocument/2006/relationships/worksheet" Target="/xl/worksheets/sheet3.xml" Id="R9e48e007c71746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46" hidden="0" customWidth="1"/>
  </x:cols>
  <x:sheetData>
    <x:row r="1">
      <x:c r="A1" s="6" t="str">
        <x:v>case</x:v>
      </x:c>
      <x:c r="B1" s="6" t="str">
        <x:v>load_case_id</x:v>
      </x:c>
      <x:c r="C1" s="6" t="str">
        <x:v>model_name</x:v>
      </x:c>
      <x:c r="D1" s="6" t="str">
        <x:v>analysis_name</x:v>
      </x:c>
      <x:c r="E1" s="6" t="str">
        <x:v>result_name</x:v>
      </x:c>
      <x:c r="F1" s="6" t="str">
        <x:v>support_name</x:v>
      </x:c>
      <x:c r="G1" s="6" t="str">
        <x:v>pressure_MPa</x:v>
      </x:c>
      <x:c r="H1" s="6" t="str">
        <x:v>applied_Fx_N</x:v>
      </x:c>
      <x:c r="I1" s="6" t="str">
        <x:v>applied_Fy_N</x:v>
      </x:c>
      <x:c r="J1" s="6" t="str">
        <x:v>applied_Fz_N</x:v>
      </x:c>
      <x:c r="K1" s="6" t="str">
        <x:v>applied_Mx_Nmm</x:v>
      </x:c>
      <x:c r="L1" s="6" t="str">
        <x:v>applied_My_Nmm</x:v>
      </x:c>
      <x:c r="M1" s="6" t="str">
        <x:v>applied_Mz_Nmm</x:v>
      </x:c>
      <x:c r="N1" s="6" t="str">
        <x:v>brace_Rx_N</x:v>
      </x:c>
      <x:c r="O1" s="6" t="str">
        <x:v>brace_Ry_N</x:v>
      </x:c>
      <x:c r="P1" s="6" t="str">
        <x:v>brace_Rz_N</x:v>
      </x:c>
      <x:c r="Q1" s="6" t="str">
        <x:v>brace_Mx_Nmm</x:v>
      </x:c>
      <x:c r="R1" s="6" t="str">
        <x:v>brace_My_Nmm</x:v>
      </x:c>
      <x:c r="S1" s="6" t="str">
        <x:v>brace_Mz_Nmm</x:v>
      </x:c>
      <x:c r="T1" s="6" t="str">
        <x:v>left_Rx_N</x:v>
      </x:c>
      <x:c r="U1" s="6" t="str">
        <x:v>left_Ry_N</x:v>
      </x:c>
      <x:c r="V1" s="6" t="str">
        <x:v>left_Rz_N</x:v>
      </x:c>
      <x:c r="W1" s="6" t="str">
        <x:v>right_Rx_N</x:v>
      </x:c>
      <x:c r="X1" s="6" t="str">
        <x:v>right_Ry_N</x:v>
      </x:c>
      <x:c r="Y1" s="6" t="str">
        <x:v>right_Rz_N</x:v>
      </x:c>
      <x:c r="Z1" s="6" t="str">
        <x:v>source_note</x:v>
      </x:c>
    </x:row>
    <x:row r="2">
      <x:c r="A2" s="12" t="str">
        <x:v>combined</x:v>
      </x:c>
      <x:c r="B2" s="12" t="str">
        <x:v>LC4+_ULT</x:v>
      </x:c>
      <x:c r="C2" s="12" t="str">
        <x:v>B14A_LC4PLUS_BRACE_REACTION_AUDIT</x:v>
      </x:c>
      <x:c r="D2" s="12" t="str">
        <x:v>Static Structural</x:v>
      </x:c>
      <x:c r="E2" s="12" t="str">
        <x:v>Moment Reaction</x:v>
      </x:c>
      <x:c r="F2" s="12" t="str">
        <x:v>SUP_BRACE_RX</x:v>
      </x:c>
      <x:c r="G2" s="12" t="n">
        <x:v>13.938</x:v>
      </x:c>
      <x:c r="H2" s="12"/>
      <x:c r="I2" s="12"/>
      <x:c r="J2" s="12"/>
      <x:c r="K2" s="12" t="n">
        <x:v>12942846</x:v>
      </x:c>
      <x:c r="L2" s="12" t="n">
        <x:v>0</x:v>
      </x:c>
      <x:c r="M2" s="12" t="n">
        <x:v>0</x:v>
      </x:c>
      <x:c r="N2" s="12"/>
      <x:c r="O2" s="12"/>
      <x:c r="P2" s="12"/>
      <x:c r="Q2" s="19" t="n">
        <x:v>-16856000</x:v>
      </x:c>
      <x:c r="R2" s="12" t="n">
        <x:v>0</x:v>
      </x:c>
      <x:c r="S2" s="12" t="n">
        <x:v>0</x:v>
      </x:c>
      <x:c r="T2" s="12"/>
      <x:c r="U2" s="12"/>
      <x:c r="V2" s="12"/>
      <x:c r="W2" s="12"/>
      <x:c r="X2" s="12"/>
      <x:c r="Y2" s="12"/>
      <x:c r="Z2" s="12" t="str">
        <x:v>Known from prior B14A ANSYS work/current screenshot. Remote Force = (0,+12510,+16638) N and pressure = 13.938 MPa, but combined applied_F fields are intentionally blank because the equivalent pressure force resultant has not been extracted.</x:v>
      </x:c>
    </x:row>
    <x:row r="3">
      <x:c r="A3" s="12" t="str">
        <x:v>force_only</x:v>
      </x:c>
      <x:c r="B3" s="12" t="str">
        <x:v>LC4+_ULT</x:v>
      </x:c>
      <x:c r="C3" s="12" t="str">
        <x:v>B14A_LC4PLUS_BRACE_REACTION_AUDIT</x:v>
      </x:c>
      <x:c r="D3" s="12" t="str">
        <x:v>Static Structural</x:v>
      </x:c>
      <x:c r="E3" s="12" t="str">
        <x:v>Moment Reaction</x:v>
      </x:c>
      <x:c r="F3" s="12" t="str">
        <x:v>SUP_BRACE_RX</x:v>
      </x:c>
      <x:c r="G3" s="12" t="n">
        <x:v>0</x:v>
      </x:c>
      <x:c r="H3" s="12" t="n">
        <x:v>0</x:v>
      </x:c>
      <x:c r="I3" s="12" t="n">
        <x:v>12510</x:v>
      </x:c>
      <x:c r="J3" s="12" t="n">
        <x:v>16638</x:v>
      </x:c>
      <x:c r="K3" s="12" t="n">
        <x:v>0</x:v>
      </x:c>
      <x:c r="L3" s="12" t="n">
        <x:v>0</x:v>
      </x:c>
      <x:c r="M3" s="12" t="n">
        <x:v>0</x:v>
      </x:c>
      <x:c r="N3" s="12"/>
      <x:c r="O3" s="12"/>
      <x:c r="P3" s="12"/>
      <x:c r="Q3" s="19" t="n">
        <x:v>-3912800</x:v>
      </x:c>
      <x:c r="R3" s="12"/>
      <x:c r="S3" s="12"/>
      <x:c r="T3" s="12"/>
      <x:c r="U3" s="12"/>
      <x:c r="V3" s="12"/>
      <x:c r="W3" s="12"/>
      <x:c r="X3" s="12"/>
      <x:c r="Y3" s="12"/>
      <x:c r="Z3" s="12" t="str">
        <x:v>Recovered from prior B14A ANSYS work: force-only SUP_BRACE_RX Mx = -3.9128e6 N*mm. Remote Force = (0,+12510,+16638) N.</x:v>
      </x:c>
    </x:row>
    <x:row r="4">
      <x:c r="A4" s="12" t="str">
        <x:v>moment_only</x:v>
      </x:c>
      <x:c r="B4" s="12" t="str">
        <x:v>LC4+_ULT</x:v>
      </x:c>
      <x:c r="C4" s="12" t="str">
        <x:v>B14A_LC4PLUS_BRACE_REACTION_AUDIT</x:v>
      </x:c>
      <x:c r="D4" s="12" t="str">
        <x:v>Static Structural</x:v>
      </x:c>
      <x:c r="E4" s="12" t="str">
        <x:v>Moment Reaction</x:v>
      </x:c>
      <x:c r="F4" s="12" t="str">
        <x:v>SUP_BRACE_RX</x:v>
      </x:c>
      <x:c r="G4" s="12" t="n">
        <x:v>0</x:v>
      </x:c>
      <x:c r="H4" s="12" t="n">
        <x:v>0</x:v>
      </x:c>
      <x:c r="I4" s="12" t="n">
        <x:v>0</x:v>
      </x:c>
      <x:c r="J4" s="12" t="n">
        <x:v>0</x:v>
      </x:c>
      <x:c r="K4" s="12" t="n">
        <x:v>12942846</x:v>
      </x:c>
      <x:c r="L4" s="12" t="n">
        <x:v>0</x:v>
      </x:c>
      <x:c r="M4" s="12" t="n">
        <x:v>0</x:v>
      </x:c>
      <x:c r="N4" s="12"/>
      <x:c r="O4" s="12"/>
      <x:c r="P4" s="12"/>
      <x:c r="Q4" s="32" t="n">
        <x:v>-12943000</x:v>
      </x:c>
      <x:c r="R4" s="12"/>
      <x:c r="S4" s="12"/>
      <x:c r="T4" s="12"/>
      <x:c r="U4" s="12"/>
      <x:c r="V4" s="12"/>
      <x:c r="W4" s="12"/>
      <x:c r="X4" s="12"/>
      <x:c r="Y4" s="12"/>
      <x:c r="Z4" s="12" t="str">
        <x:v>Raw ANSYS screenshot: SUP_BRACE_RX Moment Reaction X at final Time = 1.0 s = -1.2943e+007 N·mm. Remote Moment input = +12,942,846 N·mm about X.</x:v>
      </x:c>
    </x:row>
    <x:row r="5">
      <x:c r="A5" s="12" t="str">
        <x:v>pressure_only</x:v>
      </x:c>
      <x:c r="B5" s="12" t="str">
        <x:v>LC4+_ULT</x:v>
      </x:c>
      <x:c r="C5" s="12" t="str">
        <x:v>B14A_LC4PLUS_BRACE_REACTION_AUDIT</x:v>
      </x:c>
      <x:c r="D5" s="12" t="str">
        <x:v>Static Structural</x:v>
      </x:c>
      <x:c r="E5" s="12" t="str">
        <x:v>Moment Reaction</x:v>
      </x:c>
      <x:c r="F5" s="12" t="str">
        <x:v>SUP_BRACE_RX</x:v>
      </x:c>
      <x:c r="G5" s="12" t="n">
        <x:v>13.938</x:v>
      </x:c>
      <x:c r="H5" s="12"/>
      <x:c r="I5" s="12"/>
      <x:c r="J5" s="12"/>
      <x:c r="K5" s="12"/>
      <x:c r="L5" s="12"/>
      <x:c r="M5" s="12"/>
      <x:c r="N5" s="12"/>
      <x:c r="O5" s="12"/>
      <x:c r="P5" s="12"/>
      <x:c r="Q5" s="34" t="n">
        <x:v>12.312</x:v>
      </x:c>
      <x:c r="R5" s="12"/>
      <x:c r="S5" s="12"/>
      <x:c r="T5" s="12"/>
      <x:c r="U5" s="12"/>
      <x:c r="V5" s="12"/>
      <x:c r="W5" s="12"/>
      <x:c r="X5" s="12"/>
      <x:c r="Y5" s="12"/>
      <x:c r="Z5" s="12" t="str">
        <x:v>Raw ANSYS screenshot: SUP_BRACE_RX Moment Reaction X at final Time = 1.0 s = +12.312 N·mm for the pressure-only case.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23" t="str">
        <x:v>B14A ANSYS Raw Reaction Input — Prefilled</x:v>
      </x:c>
      <x:c r="B1" s="23"/>
      <x:c r="C1" s="23"/>
      <x:c r="D1" s="23"/>
      <x:c r="E1" s="23"/>
      <x:c r="F1" s="23"/>
    </x:row>
    <x:row r="3">
      <x:c r="A3" s="30" t="str">
        <x:v>Purpose</x:v>
      </x:c>
      <x:c r="B3" s="12" t="str">
        <x:v>Final B14A raw-reaction input populated from prior B14A work and the current ANSYS screenshots.</x:v>
      </x:c>
    </x:row>
    <x:row r="4">
      <x:c r="A4" s="30" t="str">
        <x:v>Combined</x:v>
      </x:c>
      <x:c r="B4" s="12" t="str">
        <x:v>brace_Mx_Nmm = -16,856,000 N·mm</x:v>
      </x:c>
    </x:row>
    <x:row r="5">
      <x:c r="A5" s="30" t="str">
        <x:v>Force only</x:v>
      </x:c>
      <x:c r="B5" s="12" t="str">
        <x:v>brace_Mx_Nmm = -3,912,800 N·mm</x:v>
      </x:c>
    </x:row>
    <x:row r="6">
      <x:c r="A6" s="30" t="str">
        <x:v>Moment only</x:v>
      </x:c>
      <x:c r="B6" s="12" t="str">
        <x:v>brace_Mx_Nmm = -12,943,000 N·mm</x:v>
      </x:c>
    </x:row>
    <x:row r="7">
      <x:c r="A7" s="30" t="str">
        <x:v>Pressure only</x:v>
      </x:c>
      <x:c r="B7" s="12" t="str">
        <x:v>brace_Mx_Nmm = +12.312 N·mm</x:v>
      </x:c>
    </x:row>
    <x:row r="8">
      <x:c r="A8" s="30" t="str">
        <x:v>Next step</x:v>
      </x:c>
      <x:c r="B8" s="12" t="str">
        <x:v>Run phase2e3b14a_ansys_reaction_documentation_v01.py using the final CSV.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</x:cols>
  <x:sheetData>
    <x:row r="1">
      <x:c r="A1" s="37" t="str">
        <x:v>B14A Brace-Reaction Decomposition Check</x:v>
      </x:c>
      <x:c r="B1" s="37"/>
      <x:c r="C1" s="37"/>
      <x:c r="D1" s="37"/>
    </x:row>
    <x:row r="3">
      <x:c r="A3" s="42" t="str">
        <x:v>Quantity</x:v>
      </x:c>
      <x:c r="B3" s="42" t="str">
        <x:v>Value</x:v>
      </x:c>
    </x:row>
    <x:row r="4">
      <x:c r="A4" s="12" t="str">
        <x:v>Combined Mx [N·mm]</x:v>
      </x:c>
      <x:c r="B4" s="43" t="n">
        <x:f>'B14A Raw Inputs'!Q2</x:f>
        <x:v>-16856000</x:v>
      </x:c>
    </x:row>
    <x:row r="5">
      <x:c r="A5" s="12" t="str">
        <x:v>Force-only Mx [N·mm]</x:v>
      </x:c>
      <x:c r="B5" s="43" t="n">
        <x:f>'B14A Raw Inputs'!Q3</x:f>
        <x:v>-3912800</x:v>
      </x:c>
    </x:row>
    <x:row r="6">
      <x:c r="A6" s="12" t="str">
        <x:v>Moment-only Mx [N·mm]</x:v>
      </x:c>
      <x:c r="B6" s="43" t="n">
        <x:f>'B14A Raw Inputs'!Q4</x:f>
        <x:v>-12943000</x:v>
      </x:c>
    </x:row>
    <x:row r="7">
      <x:c r="A7" s="12" t="str">
        <x:v>Pressure-only Mx [N·mm]</x:v>
      </x:c>
      <x:c r="B7" s="43" t="n">
        <x:f>'B14A Raw Inputs'!Q5</x:f>
        <x:v>12.312</x:v>
      </x:c>
    </x:row>
    <x:row r="8">
      <x:c r="A8" s="12" t="str">
        <x:v>Reconstructed Mx [N·mm]</x:v>
      </x:c>
      <x:c r="B8" s="43" t="n">
        <x:f>SUM(B5:B7)</x:f>
        <x:v>-16855787.688</x:v>
      </x:c>
    </x:row>
    <x:row r="9">
      <x:c r="A9" s="12" t="str">
        <x:v>Residual [N·mm]</x:v>
      </x:c>
      <x:c r="B9" s="43" t="n">
        <x:f>B4-B8</x:f>
        <x:v>-212.31199999898672</x:v>
      </x:c>
    </x:row>
    <x:row r="10">
      <x:c r="A10" s="12" t="str">
        <x:v>Residual [% of |combined|]</x:v>
      </x:c>
      <x:c r="B10" s="44" t="n">
        <x:f>ABS(B9)/ABS(B4)*100</x:f>
        <x:v>0.0012595633602218007</x:v>
      </x:c>
    </x:row>
  </x:sheetData>
  <x:mergeCells>
    <x:mergeCell ref="A1:D1"/>
  </x:mergeCells>
  <x:pageMargins left="0.7" right="0.7" top="0.75" bottom="0.75" header="0.3" footer="0.3"/>
</x:worksheet>
</file>